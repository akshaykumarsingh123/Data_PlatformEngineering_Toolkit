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QL\Snowflake\Documents\"/>
    </mc:Choice>
  </mc:AlternateContent>
  <xr:revisionPtr revIDLastSave="0" documentId="13_ncr:1_{43ABECC6-1F77-4B8C-AF0A-128D9B82FFB7}" xr6:coauthVersionLast="47" xr6:coauthVersionMax="47" xr10:uidLastSave="{00000000-0000-0000-0000-000000000000}"/>
  <bookViews>
    <workbookView xWindow="-108" yWindow="-108" windowWidth="23256" windowHeight="12576" xr2:uid="{C3420DC7-FCFD-4844-A78F-222E25D428D6}"/>
  </bookViews>
  <sheets>
    <sheet name="Snowflake Role Layo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21" i="2"/>
  <c r="B20" i="2"/>
  <c r="B19" i="2"/>
  <c r="B16" i="2"/>
  <c r="B15" i="2"/>
  <c r="B14" i="2"/>
  <c r="B11" i="2"/>
  <c r="B9" i="2"/>
  <c r="D26" i="2"/>
  <c r="D25" i="2"/>
  <c r="D24" i="2"/>
  <c r="D23" i="2"/>
  <c r="D21" i="2"/>
  <c r="D20" i="2"/>
  <c r="D19" i="2"/>
  <c r="D18" i="2"/>
  <c r="D16" i="2"/>
  <c r="D15" i="2"/>
  <c r="D14" i="2"/>
  <c r="D13" i="2"/>
  <c r="D11" i="2"/>
  <c r="D10" i="2"/>
  <c r="D9" i="2"/>
  <c r="D8" i="2"/>
  <c r="B26" i="2"/>
  <c r="B25" i="2"/>
  <c r="B24" i="2"/>
  <c r="B23" i="2"/>
  <c r="B18" i="2"/>
  <c r="B13" i="2"/>
  <c r="B8" i="2"/>
  <c r="D6" i="2"/>
  <c r="D5" i="2"/>
  <c r="D4" i="2"/>
  <c r="D3" i="2"/>
  <c r="B6" i="2"/>
  <c r="B5" i="2"/>
  <c r="B4" i="2"/>
  <c r="B3" i="2"/>
</calcChain>
</file>

<file path=xl/sharedStrings.xml><?xml version="1.0" encoding="utf-8"?>
<sst xmlns="http://schemas.openxmlformats.org/spreadsheetml/2006/main" count="74" uniqueCount="25">
  <si>
    <t>SNOWFLAKE_BA</t>
  </si>
  <si>
    <t>SNOWFLAKE_BI</t>
  </si>
  <si>
    <t>SNOWFLAKE_DEV</t>
  </si>
  <si>
    <t>SNOWFLAKE_POWERBI</t>
  </si>
  <si>
    <t>SNOWFLAKE_QA</t>
  </si>
  <si>
    <t>Owner</t>
  </si>
  <si>
    <t>AAD_PROVISIONER</t>
  </si>
  <si>
    <t>SECURITYADMIN</t>
  </si>
  <si>
    <t>None</t>
  </si>
  <si>
    <t>Database</t>
  </si>
  <si>
    <t>CUSTOMER_SERVICE</t>
  </si>
  <si>
    <t>MARKETING</t>
  </si>
  <si>
    <t>SUNWINGRES</t>
  </si>
  <si>
    <t>WESTJETRES</t>
  </si>
  <si>
    <t>Additional Role</t>
  </si>
  <si>
    <t>FR_SUNWINGRES_DATA_ANALYSTS</t>
  </si>
  <si>
    <t>FR_WESTJETRES_DATA_ANALYSTS</t>
  </si>
  <si>
    <t>Assigned Default Role</t>
  </si>
  <si>
    <t>Roles Assigned to Users</t>
  </si>
  <si>
    <t>None - for Single Sign-on only</t>
  </si>
  <si>
    <t>Benefits:</t>
  </si>
  <si>
    <t>AAD_PROVISIONER Roles will be used for Single Sign-On only</t>
  </si>
  <si>
    <t>Unknown / unapproved changes to AAD Groups will not automatically grant access to any Data Mart</t>
  </si>
  <si>
    <t>Users can have multiple roles and switch between them - This is not possible with AAD PROVISIONER Groups/Roles</t>
  </si>
  <si>
    <t>MONITOR_USER only (KiPi WatchKeeper 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</si>
</sst>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B6C1-A867-4B3D-B838-8F45EF210A69}">
  <dimension ref="A1:E30"/>
  <sheetViews>
    <sheetView tabSelected="1" zoomScale="120" zoomScaleNormal="120" workbookViewId="0">
      <pane ySplit="1" topLeftCell="A2" activePane="bottomLeft" state="frozen"/>
      <selection pane="bottomLeft" activeCell="E19" sqref="E19"/>
    </sheetView>
  </sheetViews>
  <sheetFormatPr defaultColWidth="9.109375" defaultRowHeight="14.4" x14ac:dyDescent="0.3"/>
  <cols>
    <col min="1" max="1" width="20.33203125" style="2" bestFit="1" customWidth="1"/>
    <col min="2" max="2" width="43.33203125" style="2" bestFit="1" customWidth="1"/>
    <col min="3" max="3" width="19" style="2" bestFit="1" customWidth="1"/>
    <col min="4" max="4" width="41.33203125" style="2" bestFit="1" customWidth="1"/>
    <col min="5" max="5" width="48.6640625" style="2" bestFit="1" customWidth="1"/>
    <col min="6" max="16384" width="9.109375" style="2"/>
  </cols>
  <sheetData>
    <row r="1" spans="1:5" s="1" customFormat="1" x14ac:dyDescent="0.3">
      <c r="A1" s="1" t="s">
        <v>9</v>
      </c>
      <c r="B1" s="1" t="s">
        <v>18</v>
      </c>
      <c r="C1" s="1" t="s">
        <v>5</v>
      </c>
      <c r="D1" s="1" t="s">
        <v>17</v>
      </c>
      <c r="E1" s="1" t="s">
        <v>14</v>
      </c>
    </row>
    <row r="2" spans="1:5" x14ac:dyDescent="0.3">
      <c r="A2" s="3" t="s">
        <v>8</v>
      </c>
      <c r="B2" s="3" t="s">
        <v>0</v>
      </c>
      <c r="C2" s="3" t="s">
        <v>6</v>
      </c>
      <c r="D2" s="3" t="s">
        <v>19</v>
      </c>
      <c r="E2" s="3"/>
    </row>
    <row r="3" spans="1:5" x14ac:dyDescent="0.3">
      <c r="A3" s="2" t="s">
        <v>10</v>
      </c>
      <c r="B3" s="2" t="str">
        <f>CONCATENATE("SNOWFLAKE_BA_",A3)</f>
        <v>SNOWFLAKE_BA_CUSTOMER_SERVICE</v>
      </c>
      <c r="C3" s="2" t="s">
        <v>7</v>
      </c>
      <c r="D3" s="2" t="str">
        <f>CONCATENATE("FR_",A3,"_DATA_ANALYSTS")</f>
        <v>FR_CUSTOMER_SERVICE_DATA_ANALYSTS</v>
      </c>
    </row>
    <row r="4" spans="1:5" x14ac:dyDescent="0.3">
      <c r="A4" s="2" t="s">
        <v>11</v>
      </c>
      <c r="B4" s="2" t="str">
        <f t="shared" ref="B4:B6" si="0">CONCATENATE("SNOWFLAKE_BA_",A4)</f>
        <v>SNOWFLAKE_BA_MARKETING</v>
      </c>
      <c r="C4" s="2" t="s">
        <v>7</v>
      </c>
      <c r="D4" s="2" t="str">
        <f t="shared" ref="D4:D6" si="1">CONCATENATE("FR_",A4,"_DATA_ANALYSTS")</f>
        <v>FR_MARKETING_DATA_ANALYSTS</v>
      </c>
    </row>
    <row r="5" spans="1:5" x14ac:dyDescent="0.3">
      <c r="A5" s="2" t="s">
        <v>12</v>
      </c>
      <c r="B5" s="2" t="str">
        <f t="shared" si="0"/>
        <v>SNOWFLAKE_BA_SUNWINGRES</v>
      </c>
      <c r="C5" s="2" t="s">
        <v>7</v>
      </c>
      <c r="D5" s="2" t="str">
        <f t="shared" si="1"/>
        <v>FR_SUNWINGRES_DATA_ANALYSTS</v>
      </c>
    </row>
    <row r="6" spans="1:5" x14ac:dyDescent="0.3">
      <c r="A6" s="2" t="s">
        <v>13</v>
      </c>
      <c r="B6" s="2" t="str">
        <f t="shared" si="0"/>
        <v>SNOWFLAKE_BA_WESTJETRES</v>
      </c>
      <c r="C6" s="2" t="s">
        <v>7</v>
      </c>
      <c r="D6" s="2" t="str">
        <f t="shared" si="1"/>
        <v>FR_WESTJETRES_DATA_ANALYSTS</v>
      </c>
    </row>
    <row r="7" spans="1:5" x14ac:dyDescent="0.3">
      <c r="A7" s="3" t="s">
        <v>8</v>
      </c>
      <c r="B7" s="3" t="s">
        <v>1</v>
      </c>
      <c r="C7" s="3" t="s">
        <v>6</v>
      </c>
      <c r="D7" s="3" t="s">
        <v>19</v>
      </c>
      <c r="E7" s="3"/>
    </row>
    <row r="8" spans="1:5" x14ac:dyDescent="0.3">
      <c r="A8" s="2" t="s">
        <v>10</v>
      </c>
      <c r="B8" s="2" t="str">
        <f>CONCATENATE("SNOWFLAKE_BI_",A8)</f>
        <v>SNOWFLAKE_BI_CUSTOMER_SERVICE</v>
      </c>
      <c r="C8" s="2" t="s">
        <v>7</v>
      </c>
      <c r="D8" s="2" t="str">
        <f>CONCATENATE("FR_",A8,"_DEVELOPER")</f>
        <v>FR_CUSTOMER_SERVICE_DEVELOPER</v>
      </c>
    </row>
    <row r="9" spans="1:5" x14ac:dyDescent="0.3">
      <c r="A9" s="2" t="s">
        <v>11</v>
      </c>
      <c r="B9" s="2" t="str">
        <f t="shared" ref="B9:B11" si="2">CONCATENATE("SNOWFLAKE_BI_",A9)</f>
        <v>SNOWFLAKE_BI_MARKETING</v>
      </c>
      <c r="C9" s="2" t="s">
        <v>7</v>
      </c>
      <c r="D9" s="2" t="str">
        <f t="shared" ref="D9:D11" si="3">CONCATENATE("FR_",A9,"_DEVELOPER")</f>
        <v>FR_MARKETING_DEVELOPER</v>
      </c>
    </row>
    <row r="10" spans="1:5" x14ac:dyDescent="0.3">
      <c r="A10" s="2" t="s">
        <v>12</v>
      </c>
      <c r="B10" s="2" t="str">
        <f>CONCATENATE("SNOWFLAKE_BI_",A10)</f>
        <v>SNOWFLAKE_BI_SUNWINGRES</v>
      </c>
      <c r="C10" s="2" t="s">
        <v>7</v>
      </c>
      <c r="D10" s="2" t="str">
        <f t="shared" si="3"/>
        <v>FR_SUNWINGRES_DEVELOPER</v>
      </c>
      <c r="E10" s="2" t="s">
        <v>16</v>
      </c>
    </row>
    <row r="11" spans="1:5" x14ac:dyDescent="0.3">
      <c r="A11" s="2" t="s">
        <v>13</v>
      </c>
      <c r="B11" s="2" t="str">
        <f t="shared" si="2"/>
        <v>SNOWFLAKE_BI_WESTJETRES</v>
      </c>
      <c r="C11" s="2" t="s">
        <v>7</v>
      </c>
      <c r="D11" s="2" t="str">
        <f t="shared" si="3"/>
        <v>FR_WESTJETRES_DEVELOPER</v>
      </c>
      <c r="E11" s="2" t="s">
        <v>15</v>
      </c>
    </row>
    <row r="12" spans="1:5" x14ac:dyDescent="0.3">
      <c r="A12" s="3" t="s">
        <v>8</v>
      </c>
      <c r="B12" s="3" t="s">
        <v>2</v>
      </c>
      <c r="C12" s="3" t="s">
        <v>6</v>
      </c>
      <c r="D12" s="3" t="s">
        <v>19</v>
      </c>
      <c r="E12" s="3" t="s">
        <v>24</v>
      </c>
    </row>
    <row r="13" spans="1:5" x14ac:dyDescent="0.3">
      <c r="A13" s="2" t="s">
        <v>10</v>
      </c>
      <c r="B13" s="2" t="str">
        <f>CONCATENATE("SNOWFLAKE_DEV_",A13)</f>
        <v>SNOWFLAKE_DEV_CUSTOMER_SERVICE</v>
      </c>
      <c r="C13" s="2" t="s">
        <v>7</v>
      </c>
      <c r="D13" s="2" t="str">
        <f>CONCATENATE("FR_",A13,"_DEVELOPER")</f>
        <v>FR_CUSTOMER_SERVICE_DEVELOPER</v>
      </c>
    </row>
    <row r="14" spans="1:5" x14ac:dyDescent="0.3">
      <c r="A14" s="2" t="s">
        <v>11</v>
      </c>
      <c r="B14" s="2" t="str">
        <f t="shared" ref="B14:B16" si="4">CONCATENATE("SNOWFLAKE_DEV_",A14)</f>
        <v>SNOWFLAKE_DEV_MARKETING</v>
      </c>
      <c r="C14" s="2" t="s">
        <v>7</v>
      </c>
      <c r="D14" s="2" t="str">
        <f t="shared" ref="D14:D16" si="5">CONCATENATE("FR_",A14,"_DEVELOPER")</f>
        <v>FR_MARKETING_DEVELOPER</v>
      </c>
    </row>
    <row r="15" spans="1:5" x14ac:dyDescent="0.3">
      <c r="A15" s="2" t="s">
        <v>12</v>
      </c>
      <c r="B15" s="2" t="str">
        <f t="shared" si="4"/>
        <v>SNOWFLAKE_DEV_SUNWINGRES</v>
      </c>
      <c r="C15" s="2" t="s">
        <v>7</v>
      </c>
      <c r="D15" s="2" t="str">
        <f t="shared" si="5"/>
        <v>FR_SUNWINGRES_DEVELOPER</v>
      </c>
      <c r="E15" s="2" t="s">
        <v>16</v>
      </c>
    </row>
    <row r="16" spans="1:5" x14ac:dyDescent="0.3">
      <c r="A16" s="2" t="s">
        <v>13</v>
      </c>
      <c r="B16" s="2" t="str">
        <f t="shared" si="4"/>
        <v>SNOWFLAKE_DEV_WESTJETRES</v>
      </c>
      <c r="C16" s="2" t="s">
        <v>7</v>
      </c>
      <c r="D16" s="2" t="str">
        <f t="shared" si="5"/>
        <v>FR_WESTJETRES_DEVELOPER</v>
      </c>
      <c r="E16" s="2" t="s">
        <v>15</v>
      </c>
    </row>
    <row r="17" spans="1:5" x14ac:dyDescent="0.3">
      <c r="A17" s="3" t="s">
        <v>8</v>
      </c>
      <c r="B17" s="3" t="s">
        <v>3</v>
      </c>
      <c r="C17" s="3" t="s">
        <v>6</v>
      </c>
      <c r="D17" s="3" t="s">
        <v>19</v>
      </c>
      <c r="E17" s="3"/>
    </row>
    <row r="18" spans="1:5" x14ac:dyDescent="0.3">
      <c r="A18" s="2" t="s">
        <v>10</v>
      </c>
      <c r="B18" s="2" t="str">
        <f>CONCATENATE("SNOWFLAKE_POWERBI_",A18)</f>
        <v>SNOWFLAKE_POWERBI_CUSTOMER_SERVICE</v>
      </c>
      <c r="C18" s="2" t="s">
        <v>7</v>
      </c>
      <c r="D18" s="2" t="str">
        <f>CONCATENATE("FR_",A18,"_REPORTING")</f>
        <v>FR_CUSTOMER_SERVICE_REPORTING</v>
      </c>
    </row>
    <row r="19" spans="1:5" x14ac:dyDescent="0.3">
      <c r="A19" s="2" t="s">
        <v>11</v>
      </c>
      <c r="B19" s="2" t="str">
        <f t="shared" ref="B19:B21" si="6">CONCATENATE("SNOWFLAKE_POWERBI_",A19)</f>
        <v>SNOWFLAKE_POWERBI_MARKETING</v>
      </c>
      <c r="C19" s="2" t="s">
        <v>7</v>
      </c>
      <c r="D19" s="2" t="str">
        <f t="shared" ref="D19:D21" si="7">CONCATENATE("FR_",A19,"_REPORTING")</f>
        <v>FR_MARKETING_REPORTING</v>
      </c>
    </row>
    <row r="20" spans="1:5" x14ac:dyDescent="0.3">
      <c r="A20" s="2" t="s">
        <v>12</v>
      </c>
      <c r="B20" s="2" t="str">
        <f t="shared" si="6"/>
        <v>SNOWFLAKE_POWERBI_SUNWINGRES</v>
      </c>
      <c r="C20" s="2" t="s">
        <v>7</v>
      </c>
      <c r="D20" s="2" t="str">
        <f t="shared" si="7"/>
        <v>FR_SUNWINGRES_REPORTING</v>
      </c>
    </row>
    <row r="21" spans="1:5" x14ac:dyDescent="0.3">
      <c r="A21" s="2" t="s">
        <v>13</v>
      </c>
      <c r="B21" s="2" t="str">
        <f t="shared" si="6"/>
        <v>SNOWFLAKE_POWERBI_WESTJETRES</v>
      </c>
      <c r="C21" s="2" t="s">
        <v>7</v>
      </c>
      <c r="D21" s="2" t="str">
        <f t="shared" si="7"/>
        <v>FR_WESTJETRES_REPORTING</v>
      </c>
    </row>
    <row r="22" spans="1:5" x14ac:dyDescent="0.3">
      <c r="A22" s="3" t="s">
        <v>8</v>
      </c>
      <c r="B22" s="3" t="s">
        <v>4</v>
      </c>
      <c r="C22" s="3" t="s">
        <v>6</v>
      </c>
      <c r="D22" s="3" t="s">
        <v>19</v>
      </c>
      <c r="E22" s="3"/>
    </row>
    <row r="23" spans="1:5" x14ac:dyDescent="0.3">
      <c r="A23" s="2" t="s">
        <v>10</v>
      </c>
      <c r="B23" s="2" t="str">
        <f>CONCATENATE("SNOWFLAKE_QA_",A23)</f>
        <v>SNOWFLAKE_QA_CUSTOMER_SERVICE</v>
      </c>
      <c r="C23" s="2" t="s">
        <v>7</v>
      </c>
      <c r="D23" s="2" t="str">
        <f>CONCATENATE("FR_",A23,"_DATA_ANALYSTS")</f>
        <v>FR_CUSTOMER_SERVICE_DATA_ANALYSTS</v>
      </c>
    </row>
    <row r="24" spans="1:5" x14ac:dyDescent="0.3">
      <c r="A24" s="2" t="s">
        <v>11</v>
      </c>
      <c r="B24" s="2" t="str">
        <f t="shared" ref="B24:B26" si="8">CONCATENATE("SNOWFLAKE_QA_",A24)</f>
        <v>SNOWFLAKE_QA_MARKETING</v>
      </c>
      <c r="C24" s="2" t="s">
        <v>7</v>
      </c>
      <c r="D24" s="2" t="str">
        <f t="shared" ref="D24:D26" si="9">CONCATENATE("FR_",A24,"_DATA_ANALYSTS")</f>
        <v>FR_MARKETING_DATA_ANALYSTS</v>
      </c>
    </row>
    <row r="25" spans="1:5" x14ac:dyDescent="0.3">
      <c r="A25" s="2" t="s">
        <v>12</v>
      </c>
      <c r="B25" s="2" t="str">
        <f t="shared" si="8"/>
        <v>SNOWFLAKE_QA_SUNWINGRES</v>
      </c>
      <c r="C25" s="2" t="s">
        <v>7</v>
      </c>
      <c r="D25" s="2" t="str">
        <f t="shared" si="9"/>
        <v>FR_SUNWINGRES_DATA_ANALYSTS</v>
      </c>
    </row>
    <row r="26" spans="1:5" x14ac:dyDescent="0.3">
      <c r="A26" s="2" t="s">
        <v>13</v>
      </c>
      <c r="B26" s="2" t="str">
        <f t="shared" si="8"/>
        <v>SNOWFLAKE_QA_WESTJETRES</v>
      </c>
      <c r="C26" s="2" t="s">
        <v>7</v>
      </c>
      <c r="D26" s="2" t="str">
        <f t="shared" si="9"/>
        <v>FR_WESTJETRES_DATA_ANALYSTS</v>
      </c>
    </row>
    <row r="28" spans="1:5" x14ac:dyDescent="0.3">
      <c r="A28" s="2" t="s">
        <v>20</v>
      </c>
      <c r="B28" s="2" t="s">
        <v>21</v>
      </c>
    </row>
    <row r="29" spans="1:5" x14ac:dyDescent="0.3">
      <c r="B29" s="2" t="s">
        <v>22</v>
      </c>
    </row>
    <row r="30" spans="1:5" x14ac:dyDescent="0.3">
      <c r="B30" s="2" t="s">
        <v>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86a9bb-9666-4639-b788-60a6e31f8a6f">
      <Terms xmlns="http://schemas.microsoft.com/office/infopath/2007/PartnerControls"/>
    </lcf76f155ced4ddcb4097134ff3c332f>
    <TaxCatchAll xmlns="1704e5e8-6d43-4feb-8d93-05e45c6e8cc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8E8D28D4909428CA215DC762C5A8B" ma:contentTypeVersion="20" ma:contentTypeDescription="Create a new document." ma:contentTypeScope="" ma:versionID="87bc4bee712a261933cedf6f4030de91">
  <xsd:schema xmlns:xsd="http://www.w3.org/2001/XMLSchema" xmlns:xs="http://www.w3.org/2001/XMLSchema" xmlns:p="http://schemas.microsoft.com/office/2006/metadata/properties" xmlns:ns1="http://schemas.microsoft.com/sharepoint/v3" xmlns:ns2="9b86a9bb-9666-4639-b788-60a6e31f8a6f" xmlns:ns3="d71f075b-d580-48fd-9896-88fb1d740810" xmlns:ns4="1704e5e8-6d43-4feb-8d93-05e45c6e8cc4" targetNamespace="http://schemas.microsoft.com/office/2006/metadata/properties" ma:root="true" ma:fieldsID="c9f745450dcdab4c0124d0eac01155bb" ns1:_="" ns2:_="" ns3:_="" ns4:_="">
    <xsd:import namespace="http://schemas.microsoft.com/sharepoint/v3"/>
    <xsd:import namespace="9b86a9bb-9666-4639-b788-60a6e31f8a6f"/>
    <xsd:import namespace="d71f075b-d580-48fd-9896-88fb1d740810"/>
    <xsd:import namespace="1704e5e8-6d43-4feb-8d93-05e45c6e8c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6a9bb-9666-4639-b788-60a6e31f8a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045bdb6-50e3-454d-91bf-8babc7de21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f075b-d580-48fd-9896-88fb1d7408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4e5e8-6d43-4feb-8d93-05e45c6e8cc4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82572330-329f-4868-b177-171f00144954}" ma:internalName="TaxCatchAll" ma:showField="CatchAllData" ma:web="1704e5e8-6d43-4feb-8d93-05e45c6e8c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0CDDB-BE37-4463-8635-004FA939E0C7}">
  <ds:schemaRefs>
    <ds:schemaRef ds:uri="http://schemas.microsoft.com/office/2006/metadata/properties"/>
    <ds:schemaRef ds:uri="http://schemas.microsoft.com/office/infopath/2007/PartnerControls"/>
    <ds:schemaRef ds:uri="9b86a9bb-9666-4639-b788-60a6e31f8a6f"/>
    <ds:schemaRef ds:uri="1704e5e8-6d43-4feb-8d93-05e45c6e8cc4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5DDA146-6303-4E08-9175-9EE918F7BD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B7D4EC-3683-42CC-BC49-7F7D1006D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b86a9bb-9666-4639-b788-60a6e31f8a6f"/>
    <ds:schemaRef ds:uri="d71f075b-d580-48fd-9896-88fb1d740810"/>
    <ds:schemaRef ds:uri="1704e5e8-6d43-4feb-8d93-05e45c6e8c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Snowflake Role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Rey</dc:creator>
  <cp:lastModifiedBy>Akshay Singh</cp:lastModifiedBy>
  <dcterms:created xsi:type="dcterms:W3CDTF">2024-10-30T21:03:55Z</dcterms:created>
  <dcterms:modified xsi:type="dcterms:W3CDTF">2024-11-13T17:53:04Z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0x0101002388E8D28D4909428CA215DC762C5A8B</vt:lpwstr>
  </property>
</Properties>
</file>